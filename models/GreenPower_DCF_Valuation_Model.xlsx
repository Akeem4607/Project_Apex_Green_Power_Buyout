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2475B21-7D11-4D57-98DF-72CD0CDA481A}" xr6:coauthVersionLast="47" xr6:coauthVersionMax="47" xr10:uidLastSave="{00000000-0000-0000-0000-000000000000}"/>
  <bookViews>
    <workbookView xWindow="9510" yWindow="0" windowWidth="9780" windowHeight="10170" firstSheet="3" activeTab="3" xr2:uid="{00000000-000D-0000-FFFF-FFFF00000000}"/>
  </bookViews>
  <sheets>
    <sheet name="Income Statement" sheetId="1" r:id="rId1"/>
    <sheet name="Balance Sheet" sheetId="2" r:id="rId2"/>
    <sheet name="Cash Flow Summary" sheetId="3" r:id="rId3"/>
    <sheet name="Ratio Calculator" sheetId="4" r:id="rId4"/>
    <sheet name="DCF Valuation" sheetId="5" r:id="rId5"/>
    <sheet name="Scenario Analysis" sheetId="6" r:id="rId6"/>
    <sheet name="Executive 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D13" i="4"/>
  <c r="B13" i="4"/>
  <c r="C22" i="6"/>
  <c r="D22" i="6"/>
  <c r="B22" i="6"/>
  <c r="C21" i="6"/>
  <c r="D21" i="6"/>
  <c r="B21" i="6"/>
  <c r="D19" i="6"/>
  <c r="C19" i="6"/>
  <c r="B18" i="6"/>
  <c r="B19" i="6"/>
  <c r="B41" i="5"/>
  <c r="B39" i="5"/>
  <c r="B38" i="5"/>
  <c r="B37" i="5"/>
  <c r="B36" i="5"/>
  <c r="B34" i="5"/>
  <c r="B33" i="5"/>
  <c r="B32" i="5"/>
  <c r="B8" i="5"/>
  <c r="C28" i="5"/>
  <c r="D28" i="5"/>
  <c r="E28" i="5"/>
  <c r="F28" i="5"/>
  <c r="B28" i="5"/>
  <c r="Q25" i="5"/>
  <c r="Q26" i="5" s="1"/>
  <c r="P25" i="5"/>
  <c r="P26" i="5" s="1"/>
  <c r="O25" i="5"/>
  <c r="O26" i="5" s="1"/>
  <c r="N25" i="5"/>
  <c r="N26" i="5" s="1"/>
  <c r="M25" i="5"/>
  <c r="M26" i="5" s="1"/>
  <c r="K25" i="5"/>
  <c r="F25" i="5"/>
  <c r="C25" i="5"/>
  <c r="D25" i="5"/>
  <c r="E25" i="5"/>
  <c r="B25" i="5"/>
  <c r="F24" i="5"/>
  <c r="E24" i="5"/>
  <c r="D24" i="5"/>
  <c r="C24" i="5"/>
  <c r="B24" i="5"/>
  <c r="F23" i="5"/>
  <c r="E23" i="5"/>
  <c r="D23" i="5"/>
  <c r="C23" i="5"/>
  <c r="B23" i="5"/>
  <c r="C22" i="5"/>
  <c r="D22" i="5"/>
  <c r="E22" i="5"/>
  <c r="F22" i="5"/>
  <c r="B22" i="5"/>
  <c r="F21" i="5"/>
  <c r="E21" i="5"/>
  <c r="D21" i="5"/>
  <c r="C21" i="5"/>
  <c r="B21" i="5"/>
  <c r="B19" i="5"/>
  <c r="B20" i="5" s="1"/>
  <c r="F7" i="5"/>
  <c r="G3" i="5"/>
  <c r="G6" i="5"/>
  <c r="B12" i="5" s="1"/>
  <c r="B9" i="5"/>
  <c r="B11" i="5" s="1"/>
  <c r="D14" i="4"/>
  <c r="C14" i="4"/>
  <c r="D11" i="4"/>
  <c r="C11" i="4"/>
  <c r="D10" i="4"/>
  <c r="C10" i="4"/>
  <c r="D9" i="4"/>
  <c r="C9" i="4"/>
  <c r="B8" i="4"/>
  <c r="C8" i="4"/>
  <c r="D8" i="4"/>
  <c r="C7" i="4"/>
  <c r="D7" i="4"/>
  <c r="B7" i="4"/>
  <c r="C6" i="4"/>
  <c r="D6" i="4"/>
  <c r="B6" i="4"/>
  <c r="B13" i="5" l="1"/>
  <c r="B14" i="5" s="1"/>
  <c r="C19" i="5"/>
  <c r="C20" i="5" l="1"/>
  <c r="D19" i="5"/>
  <c r="D20" i="5" l="1"/>
  <c r="E19" i="5"/>
  <c r="E20" i="5" l="1"/>
  <c r="F19" i="5"/>
  <c r="F20" i="5" s="1"/>
</calcChain>
</file>

<file path=xl/sharedStrings.xml><?xml version="1.0" encoding="utf-8"?>
<sst xmlns="http://schemas.openxmlformats.org/spreadsheetml/2006/main" count="188" uniqueCount="162">
  <si>
    <t>GreenPower Motor Company Inc. — Income Statement</t>
  </si>
  <si>
    <t>In USD thousands. Source: Annual Report (MD&amp;A), March 31, 2025.</t>
  </si>
  <si>
    <t>Income Statement</t>
  </si>
  <si>
    <t>Item</t>
  </si>
  <si>
    <t>FY 2023</t>
  </si>
  <si>
    <t>FY 2024</t>
  </si>
  <si>
    <t>FY 2025</t>
  </si>
  <si>
    <t>Revenue</t>
  </si>
  <si>
    <t>Cost of Sales</t>
  </si>
  <si>
    <t>Gross Profit</t>
  </si>
  <si>
    <t>SG&amp;A Costs (total)</t>
  </si>
  <si>
    <t xml:space="preserve">   Salaries and Administration</t>
  </si>
  <si>
    <t xml:space="preserve">   Depreciation</t>
  </si>
  <si>
    <t xml:space="preserve">   Product Development</t>
  </si>
  <si>
    <t xml:space="preserve">   Office Expense</t>
  </si>
  <si>
    <t xml:space="preserve">   Insurance</t>
  </si>
  <si>
    <t xml:space="preserve">   Professional Fees</t>
  </si>
  <si>
    <t xml:space="preserve">   Sales and Marketing</t>
  </si>
  <si>
    <t xml:space="preserve">   Share-Based Payments (non-cash)</t>
  </si>
  <si>
    <t xml:space="preserve">   Transportation</t>
  </si>
  <si>
    <t xml:space="preserve">   Travel and Entertainment</t>
  </si>
  <si>
    <t xml:space="preserve">   Allowance for Credit Losses</t>
  </si>
  <si>
    <t>Loss from Operations (EBIT proxy)</t>
  </si>
  <si>
    <t>Interest and Accretion</t>
  </si>
  <si>
    <t>Other Income</t>
  </si>
  <si>
    <t>Foreign Exchange Gain/(Loss)</t>
  </si>
  <si>
    <t>Write Down of Assets</t>
  </si>
  <si>
    <t>Loss for the Year</t>
  </si>
  <si>
    <t>Depreciation (for cash flow)</t>
  </si>
  <si>
    <t>Loss per Common Share (basic)</t>
  </si>
  <si>
    <t>Weighted Avg Shares Outstanding (000s)</t>
  </si>
  <si>
    <t>GreenPower Motor Company Inc. — Balance Sheet</t>
  </si>
  <si>
    <t>Balance Sheet</t>
  </si>
  <si>
    <t>ASSETS</t>
  </si>
  <si>
    <t>Cash and Restricted Cash</t>
  </si>
  <si>
    <t>Accounts Receivable (net)</t>
  </si>
  <si>
    <t>Inventory</t>
  </si>
  <si>
    <t>Other Current Assets</t>
  </si>
  <si>
    <t>Total Current Assets</t>
  </si>
  <si>
    <t>Finance Lease Receivables</t>
  </si>
  <si>
    <t>Right of Use Assets (operating leases)</t>
  </si>
  <si>
    <t>Property and Equipment</t>
  </si>
  <si>
    <t>Other Non-Current Assets</t>
  </si>
  <si>
    <t>Total Assets</t>
  </si>
  <si>
    <t>LIABILITIES</t>
  </si>
  <si>
    <t>Line of Credit (short-term debt)</t>
  </si>
  <si>
    <t>Accounts Payable and Accrued Liabilities</t>
  </si>
  <si>
    <t>Deferred Revenue</t>
  </si>
  <si>
    <t>Other Current Liabilities</t>
  </si>
  <si>
    <t>Total Current Liabilities</t>
  </si>
  <si>
    <t>Loans Payable to Related Parties</t>
  </si>
  <si>
    <t>Term Loan Facility</t>
  </si>
  <si>
    <t>Lease Liabilities</t>
  </si>
  <si>
    <t>Contingent Liability</t>
  </si>
  <si>
    <t>Warranty Liability</t>
  </si>
  <si>
    <t>Other Non-Current Liabilities</t>
  </si>
  <si>
    <t>Total Liabilities</t>
  </si>
  <si>
    <t>Shareholders' Equity</t>
  </si>
  <si>
    <t>Total Liabilities + Equity</t>
  </si>
  <si>
    <t>GreenPower Motor Company Inc. — Cash Flow Summary</t>
  </si>
  <si>
    <t>Cash Flow Statement (Summary)</t>
  </si>
  <si>
    <t>Cash Used in Operations</t>
  </si>
  <si>
    <t>Cash from/(Used in) Investing</t>
  </si>
  <si>
    <t>Cash from Financing</t>
  </si>
  <si>
    <t>FX Effect on Cash</t>
  </si>
  <si>
    <t>Net Change in Cash</t>
  </si>
  <si>
    <t>GreenPower — Financial Ratio Calculator</t>
  </si>
  <si>
    <t>Calculate ratios using the Income Statement and Balance Sheet data.</t>
  </si>
  <si>
    <t>Financial Ratios</t>
  </si>
  <si>
    <t>Ratio</t>
  </si>
  <si>
    <t>Gross Profit Margin</t>
  </si>
  <si>
    <t>SG&amp;A / Revenue</t>
  </si>
  <si>
    <t>EBIT Margin</t>
  </si>
  <si>
    <t>Current Ratio</t>
  </si>
  <si>
    <t>Inventory / Revenue</t>
  </si>
  <si>
    <t>Accounts Receivable / Revenue</t>
  </si>
  <si>
    <t>Revenue per Employee</t>
  </si>
  <si>
    <t>Interest Coverage (EBIT / Interest)</t>
  </si>
  <si>
    <t>Debt-to-Equity</t>
  </si>
  <si>
    <t>GreenPower — DCF Valuation Framework</t>
  </si>
  <si>
    <t>Build your DCF model here using the financial data from the other tabs.</t>
  </si>
  <si>
    <t>WACC Estimation</t>
  </si>
  <si>
    <t>Risk-Free Rate</t>
  </si>
  <si>
    <t>Market Risk Premium</t>
  </si>
  <si>
    <t>Beta (levered)</t>
  </si>
  <si>
    <t>Cost of Equity (Ke)</t>
  </si>
  <si>
    <t>Pre-Tax Cost of Debt</t>
  </si>
  <si>
    <t>Tax Rate</t>
  </si>
  <si>
    <t>After-Tax Cost of Debt</t>
  </si>
  <si>
    <t>Equity Weight</t>
  </si>
  <si>
    <t>Debt Weight</t>
  </si>
  <si>
    <t>WACC</t>
  </si>
  <si>
    <t>FCF Projections (5 Years)</t>
  </si>
  <si>
    <t>Year 1</t>
  </si>
  <si>
    <t>Year 2</t>
  </si>
  <si>
    <t>Year 3</t>
  </si>
  <si>
    <t>Year 4</t>
  </si>
  <si>
    <t>Year 5</t>
  </si>
  <si>
    <t>COGS</t>
  </si>
  <si>
    <t>SG&amp;A</t>
  </si>
  <si>
    <t>EBIT</t>
  </si>
  <si>
    <t>NOPLAT</t>
  </si>
  <si>
    <t>Depreciation</t>
  </si>
  <si>
    <t>Gross Cash Flow</t>
  </si>
  <si>
    <t>Change in NWC</t>
  </si>
  <si>
    <t>Change in Net PP&amp;E</t>
  </si>
  <si>
    <t>Free Cash Flow</t>
  </si>
  <si>
    <t>Valuation</t>
  </si>
  <si>
    <t>Sum of PV of FCFs</t>
  </si>
  <si>
    <t>PV of Terminal Value</t>
  </si>
  <si>
    <t>Operating Value</t>
  </si>
  <si>
    <t>Non-Operating Assets</t>
  </si>
  <si>
    <t>Entity Value</t>
  </si>
  <si>
    <t>Less: Total Debt</t>
  </si>
  <si>
    <t>Less: Debt Equivalents</t>
  </si>
  <si>
    <t>Equity Value</t>
  </si>
  <si>
    <t>Shares Outstanding (000s)</t>
  </si>
  <si>
    <t>Value Per Share</t>
  </si>
  <si>
    <t>Current Share Price</t>
  </si>
  <si>
    <t>GreenPower — Scenario Analysis</t>
  </si>
  <si>
    <t>Scenario Assumptions</t>
  </si>
  <si>
    <t>Assumption</t>
  </si>
  <si>
    <t>Downside</t>
  </si>
  <si>
    <t>Base Case</t>
  </si>
  <si>
    <t>Turnaround</t>
  </si>
  <si>
    <t>Revenue Growth Rate</t>
  </si>
  <si>
    <t>COGS / Revenue</t>
  </si>
  <si>
    <t>Revenue / IC (Capital Turnover)</t>
  </si>
  <si>
    <t>Depreciation / Net PP&amp;E</t>
  </si>
  <si>
    <t>Sales / NWC</t>
  </si>
  <si>
    <t>Marginal Tax Rate</t>
  </si>
  <si>
    <t>Cost of Debt</t>
  </si>
  <si>
    <t>Scenario Outputs</t>
  </si>
  <si>
    <t>Metric</t>
  </si>
  <si>
    <t>Premium / (Discount)</t>
  </si>
  <si>
    <t>Recommendation</t>
  </si>
  <si>
    <t>GreenPower — Executive Summary and Recommendation</t>
  </si>
  <si>
    <t>1. Financial Analysis Key Findings (3-4 sentences):</t>
  </si>
  <si>
    <t>2. Valuation Summary (NPV, equity value, value per share for each scenario):</t>
  </si>
  <si>
    <t>3. Key Risks and Red Flags:</t>
  </si>
  <si>
    <t>4. Investment Recommendation (Buy / Do Not Buy with reasoning):</t>
  </si>
  <si>
    <t>MARKET CAP</t>
  </si>
  <si>
    <t>TOTAL DEBT</t>
  </si>
  <si>
    <t>CURRENT SH PR</t>
  </si>
  <si>
    <t>REV DECLINE</t>
  </si>
  <si>
    <t>ASSUMED GROWTH</t>
  </si>
  <si>
    <t>COGS_assumption</t>
  </si>
  <si>
    <t>NWC2025</t>
  </si>
  <si>
    <t>NWC2024</t>
  </si>
  <si>
    <t>ACC RC.</t>
  </si>
  <si>
    <t>RATE</t>
  </si>
  <si>
    <t>GreenPower exhibits severe operational distress characterized by a declining gross profit margin (falling to 11.07% in FY 2025) and surging SG&amp;A expenses that completely consume revenue (101.36% of revenue in FY 2025)</t>
  </si>
  <si>
    <t xml:space="preserve"> The company's liquidity is tightly constrained, with the current ratio deteriorating to 141.22% and an excessive inventory-to-revenue burden of 129.00% in FY 2025.</t>
  </si>
  <si>
    <t>High debt leverage and negative cumulative earnings have resulted in severely negative shareholders' equity, heavily undermining core profitability and credit standing.</t>
  </si>
  <si>
    <t>Downside Scenario: Equity Value stands at -$132,490 thousand with a value per share of -$4.00, reflecting steep cash burn under a 15.0% contraction growth rate and 14.5% WACC.</t>
  </si>
  <si>
    <t>Base Case Scenario: Equity Value is -$90,000 thousand with a value per share of -$3.00, driven by persistent negative free cash flows under a 5.0% growth assumption and 12.0% WACC.</t>
  </si>
  <si>
    <t>Turnaround Scenario: Equity Value registers at -$30,000 thousand with a value per share of -$1.00, indicating that even under an aggressive 20.0% growth and operational restructuring assumption, intrinsic equity value remains negative.</t>
  </si>
  <si>
    <t>Extreme debt overhang coupled with a high cost of debt (8.5% to 12.0% across scenarios) creates severe insolvency and default risks.</t>
  </si>
  <si>
    <t>Massive operating inefficiencies, where SG&amp;A and COGS combined exceed total revenues, destroying fundamental enterprise operating value.</t>
  </si>
  <si>
    <t>Excessive inventory buildup tying up vital working capital against sliding top-line revenue performance.</t>
  </si>
  <si>
    <t xml:space="preserve"> Recommendation: Do Not Buy / Pass</t>
  </si>
  <si>
    <t>Reasoning: Across all modeled operating scenarios—including an aggressive turnaround model—GreenPower's intrinsic equity value and per-share values remain deeply negative (ranging from -$1.00 to -$4.00 per share) compared to its current market share price of $1.00. Acquiring the company at market price destroys capital unless preceded by a radical debt restructuring, massive operational cost-cutting, and capital injection.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</si>
</sst>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4"/>
      <color rgb="FF1F4E79"/>
      <name val="Aptos"/>
    </font>
    <font>
      <i/>
      <sz val="10"/>
      <name val="Aptos"/>
    </font>
    <font>
      <b/>
      <sz val="12"/>
      <color rgb="FFFFFFFF"/>
      <name val="Aptos"/>
    </font>
    <font>
      <b/>
      <sz val="11"/>
      <name val="Aptos"/>
    </font>
    <font>
      <sz val="11"/>
      <name val="Aptos"/>
    </font>
    <font>
      <sz val="11"/>
      <color rgb="FF0000FF"/>
      <name val="Aptos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2F7FB"/>
        <bgColor rgb="FFF2F7FB"/>
      </patternFill>
    </fill>
    <fill>
      <patternFill patternType="solid">
        <fgColor rgb="FFFFF2CC"/>
        <bgColor rgb="FFFFF2CC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4A017"/>
      </left>
      <right style="thin">
        <color rgb="FFD4A017"/>
      </right>
      <top style="thin">
        <color rgb="FFD4A017"/>
      </top>
      <bottom style="thin">
        <color rgb="FFD4A017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left" wrapText="1"/>
    </xf>
    <xf numFmtId="3" fontId="6" fillId="4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3" fontId="6" fillId="0" borderId="1" xfId="0" applyNumberFormat="1" applyFont="1" applyBorder="1" applyAlignment="1">
      <alignment horizontal="center" wrapText="1"/>
    </xf>
    <xf numFmtId="2" fontId="6" fillId="0" borderId="1" xfId="0" applyNumberFormat="1" applyFont="1" applyBorder="1" applyAlignment="1">
      <alignment horizontal="center" wrapText="1"/>
    </xf>
    <xf numFmtId="0" fontId="4" fillId="0" borderId="0" xfId="0" applyFont="1" applyAlignment="1">
      <alignment horizontal="left" wrapText="1"/>
    </xf>
    <xf numFmtId="10" fontId="0" fillId="5" borderId="4" xfId="0" applyNumberFormat="1" applyFill="1" applyBorder="1" applyAlignment="1">
      <alignment horizontal="center"/>
    </xf>
    <xf numFmtId="164" fontId="0" fillId="5" borderId="4" xfId="0" applyNumberFormat="1" applyFill="1" applyBorder="1" applyAlignment="1">
      <alignment horizontal="center"/>
    </xf>
    <xf numFmtId="3" fontId="0" fillId="5" borderId="4" xfId="0" applyNumberFormat="1" applyFill="1" applyBorder="1" applyAlignment="1">
      <alignment horizontal="center"/>
    </xf>
    <xf numFmtId="0" fontId="0" fillId="5" borderId="4" xfId="0" applyFill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3" fillId="2" borderId="1" xfId="0" applyFont="1" applyFill="1" applyBorder="1" applyAlignment="1">
      <alignment horizontal="left" wrapText="1"/>
    </xf>
    <xf numFmtId="0" fontId="0" fillId="0" borderId="2" xfId="0" applyBorder="1"/>
    <xf numFmtId="0" fontId="0" fillId="0" borderId="3" xfId="0" applyBorder="1"/>
    <xf numFmtId="9" fontId="0" fillId="0" borderId="0" xfId="1" applyFont="1"/>
    <xf numFmtId="3" fontId="0" fillId="0" borderId="0" xfId="0" applyNumberFormat="1"/>
    <xf numFmtId="0" fontId="0" fillId="6" borderId="0" xfId="0" applyFill="1"/>
    <xf numFmtId="9" fontId="0" fillId="6" borderId="0" xfId="1" applyFont="1" applyFill="1"/>
    <xf numFmtId="0" fontId="8" fillId="6" borderId="0" xfId="0" applyFont="1" applyFill="1"/>
    <xf numFmtId="3" fontId="0" fillId="6" borderId="0" xfId="0" applyNumberFormat="1" applyFill="1"/>
    <xf numFmtId="9" fontId="8" fillId="6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opLeftCell="A21" workbookViewId="0">
      <selection activeCell="B31" sqref="B31"/>
    </sheetView>
  </sheetViews>
  <sheetFormatPr defaultRowHeight="14.5" x14ac:dyDescent="0.35"/>
  <cols>
    <col min="1" max="1" width="42" customWidth="1"/>
    <col min="2" max="5" width="16" customWidth="1"/>
  </cols>
  <sheetData>
    <row r="1" spans="1:4" ht="15.5" x14ac:dyDescent="0.45">
      <c r="A1" s="14" t="s">
        <v>0</v>
      </c>
      <c r="B1" s="15"/>
      <c r="C1" s="15"/>
      <c r="D1" s="15"/>
    </row>
    <row r="2" spans="1:4" ht="26.5" x14ac:dyDescent="0.35">
      <c r="A2" s="2" t="s">
        <v>1</v>
      </c>
    </row>
    <row r="4" spans="1:4" ht="15" x14ac:dyDescent="0.4">
      <c r="A4" s="16" t="s">
        <v>2</v>
      </c>
      <c r="B4" s="17"/>
      <c r="C4" s="17"/>
      <c r="D4" s="18"/>
    </row>
    <row r="5" spans="1:4" x14ac:dyDescent="0.35">
      <c r="A5" s="3" t="s">
        <v>3</v>
      </c>
      <c r="B5" s="3" t="s">
        <v>4</v>
      </c>
      <c r="C5" s="3" t="s">
        <v>5</v>
      </c>
      <c r="D5" s="3" t="s">
        <v>6</v>
      </c>
    </row>
    <row r="6" spans="1:4" x14ac:dyDescent="0.35">
      <c r="A6" s="4" t="s">
        <v>7</v>
      </c>
      <c r="B6" s="5">
        <v>39696</v>
      </c>
      <c r="C6" s="5">
        <v>39272</v>
      </c>
      <c r="D6" s="5">
        <v>19847</v>
      </c>
    </row>
    <row r="7" spans="1:4" x14ac:dyDescent="0.35">
      <c r="A7" s="6" t="s">
        <v>8</v>
      </c>
      <c r="B7" s="7">
        <v>-32446</v>
      </c>
      <c r="C7" s="7">
        <v>-33914</v>
      </c>
      <c r="D7" s="7">
        <v>-17651</v>
      </c>
    </row>
    <row r="8" spans="1:4" x14ac:dyDescent="0.35">
      <c r="A8" s="4" t="s">
        <v>9</v>
      </c>
      <c r="B8" s="5">
        <v>7250</v>
      </c>
      <c r="C8" s="5">
        <v>5358</v>
      </c>
      <c r="D8" s="5">
        <v>2197</v>
      </c>
    </row>
    <row r="10" spans="1:4" x14ac:dyDescent="0.35">
      <c r="A10" s="4" t="s">
        <v>10</v>
      </c>
      <c r="B10" s="5">
        <v>-20535</v>
      </c>
      <c r="C10" s="5">
        <v>-22160</v>
      </c>
      <c r="D10" s="5">
        <v>-20116</v>
      </c>
    </row>
    <row r="11" spans="1:4" x14ac:dyDescent="0.35">
      <c r="A11" s="6" t="s">
        <v>11</v>
      </c>
      <c r="B11" s="7">
        <v>-7394</v>
      </c>
      <c r="C11" s="7">
        <v>-8815</v>
      </c>
      <c r="D11" s="7">
        <v>-9912</v>
      </c>
    </row>
    <row r="12" spans="1:4" x14ac:dyDescent="0.35">
      <c r="A12" s="4" t="s">
        <v>12</v>
      </c>
      <c r="B12" s="5">
        <v>-1219</v>
      </c>
      <c r="C12" s="5">
        <v>-1858</v>
      </c>
      <c r="D12" s="5">
        <v>-1662</v>
      </c>
    </row>
    <row r="13" spans="1:4" x14ac:dyDescent="0.35">
      <c r="A13" s="6" t="s">
        <v>13</v>
      </c>
      <c r="B13" s="7">
        <v>-2090</v>
      </c>
      <c r="C13" s="7">
        <v>-1811</v>
      </c>
      <c r="D13" s="7">
        <v>-1339</v>
      </c>
    </row>
    <row r="14" spans="1:4" x14ac:dyDescent="0.35">
      <c r="A14" s="4" t="s">
        <v>14</v>
      </c>
      <c r="B14" s="5">
        <v>-920</v>
      </c>
      <c r="C14" s="5">
        <v>-1607</v>
      </c>
      <c r="D14" s="5">
        <v>-1256</v>
      </c>
    </row>
    <row r="15" spans="1:4" x14ac:dyDescent="0.35">
      <c r="A15" s="6" t="s">
        <v>15</v>
      </c>
      <c r="B15" s="7">
        <v>-1802</v>
      </c>
      <c r="C15" s="7">
        <v>-1716</v>
      </c>
      <c r="D15" s="7">
        <v>-1728</v>
      </c>
    </row>
    <row r="16" spans="1:4" x14ac:dyDescent="0.35">
      <c r="A16" s="4" t="s">
        <v>16</v>
      </c>
      <c r="B16" s="5">
        <v>-1477</v>
      </c>
      <c r="C16" s="5">
        <v>-1926</v>
      </c>
      <c r="D16" s="5">
        <v>-1673</v>
      </c>
    </row>
    <row r="17" spans="1:4" x14ac:dyDescent="0.35">
      <c r="A17" s="6" t="s">
        <v>17</v>
      </c>
      <c r="B17" s="7">
        <v>-818</v>
      </c>
      <c r="C17" s="7">
        <v>-661</v>
      </c>
      <c r="D17" s="7">
        <v>-998</v>
      </c>
    </row>
    <row r="18" spans="1:4" x14ac:dyDescent="0.35">
      <c r="A18" s="4" t="s">
        <v>18</v>
      </c>
      <c r="B18" s="5">
        <v>-3646</v>
      </c>
      <c r="C18" s="5">
        <v>-1502</v>
      </c>
      <c r="D18" s="5">
        <v>-897</v>
      </c>
    </row>
    <row r="19" spans="1:4" x14ac:dyDescent="0.35">
      <c r="A19" s="6" t="s">
        <v>19</v>
      </c>
      <c r="B19" s="7">
        <v>-325</v>
      </c>
      <c r="C19" s="7">
        <v>-212</v>
      </c>
      <c r="D19" s="7">
        <v>-264</v>
      </c>
    </row>
    <row r="20" spans="1:4" x14ac:dyDescent="0.35">
      <c r="A20" s="4" t="s">
        <v>20</v>
      </c>
      <c r="B20" s="5">
        <v>-748</v>
      </c>
      <c r="C20" s="5">
        <v>-599</v>
      </c>
      <c r="D20" s="5">
        <v>-398</v>
      </c>
    </row>
    <row r="21" spans="1:4" x14ac:dyDescent="0.35">
      <c r="A21" s="6" t="s">
        <v>21</v>
      </c>
      <c r="B21" s="7">
        <v>-95</v>
      </c>
      <c r="C21" s="7">
        <v>-1451</v>
      </c>
      <c r="D21" s="7">
        <v>12</v>
      </c>
    </row>
    <row r="23" spans="1:4" x14ac:dyDescent="0.35">
      <c r="A23" s="6" t="s">
        <v>22</v>
      </c>
      <c r="B23" s="7">
        <v>-13285</v>
      </c>
      <c r="C23" s="7">
        <v>-16802</v>
      </c>
      <c r="D23" s="7">
        <v>-17920</v>
      </c>
    </row>
    <row r="24" spans="1:4" x14ac:dyDescent="0.35">
      <c r="A24" s="4" t="s">
        <v>23</v>
      </c>
      <c r="B24" s="5">
        <v>-1550</v>
      </c>
      <c r="C24" s="5">
        <v>-1555</v>
      </c>
      <c r="D24" s="5">
        <v>-2176</v>
      </c>
    </row>
    <row r="25" spans="1:4" x14ac:dyDescent="0.35">
      <c r="A25" s="6" t="s">
        <v>24</v>
      </c>
      <c r="B25" s="7">
        <v>73</v>
      </c>
      <c r="C25" s="7">
        <v>306</v>
      </c>
      <c r="D25" s="7">
        <v>1392</v>
      </c>
    </row>
    <row r="26" spans="1:4" x14ac:dyDescent="0.35">
      <c r="A26" s="4" t="s">
        <v>25</v>
      </c>
      <c r="B26" s="5">
        <v>-31</v>
      </c>
      <c r="C26" s="5">
        <v>131</v>
      </c>
      <c r="D26" s="5">
        <v>41</v>
      </c>
    </row>
    <row r="27" spans="1:4" x14ac:dyDescent="0.35">
      <c r="A27" s="6" t="s">
        <v>26</v>
      </c>
      <c r="B27" s="7">
        <v>0</v>
      </c>
      <c r="C27" s="7">
        <v>-423</v>
      </c>
      <c r="D27" s="7">
        <v>0</v>
      </c>
    </row>
    <row r="28" spans="1:4" x14ac:dyDescent="0.35">
      <c r="A28" s="4" t="s">
        <v>27</v>
      </c>
      <c r="B28" s="5">
        <v>-15044</v>
      </c>
      <c r="C28" s="5">
        <v>-18343</v>
      </c>
      <c r="D28" s="5">
        <v>-18663</v>
      </c>
    </row>
    <row r="30" spans="1:4" x14ac:dyDescent="0.35">
      <c r="A30" s="4" t="s">
        <v>28</v>
      </c>
      <c r="B30" s="5">
        <v>1219</v>
      </c>
      <c r="C30" s="5">
        <v>1858</v>
      </c>
      <c r="D30" s="5">
        <v>1662</v>
      </c>
    </row>
    <row r="31" spans="1:4" x14ac:dyDescent="0.35">
      <c r="A31" s="6" t="s">
        <v>29</v>
      </c>
      <c r="B31" s="8">
        <v>-0.64</v>
      </c>
      <c r="C31" s="8">
        <v>-0.74</v>
      </c>
      <c r="D31" s="8">
        <v>-0.68</v>
      </c>
    </row>
    <row r="32" spans="1:4" x14ac:dyDescent="0.35">
      <c r="A32" s="4" t="s">
        <v>30</v>
      </c>
      <c r="B32" s="5">
        <v>23523</v>
      </c>
      <c r="C32" s="5">
        <v>24951</v>
      </c>
      <c r="D32" s="5">
        <v>27580</v>
      </c>
    </row>
  </sheetData>
  <mergeCells count="2">
    <mergeCell ref="A1:D1"/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topLeftCell="A24" workbookViewId="0">
      <selection sqref="A1:C1"/>
    </sheetView>
  </sheetViews>
  <sheetFormatPr defaultRowHeight="14.5" x14ac:dyDescent="0.35"/>
  <cols>
    <col min="1" max="1" width="42" customWidth="1"/>
    <col min="2" max="4" width="16" customWidth="1"/>
  </cols>
  <sheetData>
    <row r="1" spans="1:3" ht="15.5" x14ac:dyDescent="0.45">
      <c r="A1" s="14" t="s">
        <v>31</v>
      </c>
      <c r="B1" s="15"/>
      <c r="C1" s="15"/>
    </row>
    <row r="2" spans="1:3" ht="26.5" x14ac:dyDescent="0.35">
      <c r="A2" s="2" t="s">
        <v>1</v>
      </c>
    </row>
    <row r="4" spans="1:3" ht="15" x14ac:dyDescent="0.4">
      <c r="A4" s="16" t="s">
        <v>32</v>
      </c>
      <c r="B4" s="17"/>
      <c r="C4" s="18"/>
    </row>
    <row r="5" spans="1:3" x14ac:dyDescent="0.35">
      <c r="A5" s="3" t="s">
        <v>3</v>
      </c>
      <c r="B5" s="3" t="s">
        <v>5</v>
      </c>
      <c r="C5" s="3" t="s">
        <v>6</v>
      </c>
    </row>
    <row r="6" spans="1:3" x14ac:dyDescent="0.35">
      <c r="A6" s="9" t="s">
        <v>33</v>
      </c>
    </row>
    <row r="7" spans="1:3" x14ac:dyDescent="0.35">
      <c r="A7" s="6" t="s">
        <v>34</v>
      </c>
      <c r="B7" s="7">
        <v>1151</v>
      </c>
      <c r="C7" s="7">
        <v>344</v>
      </c>
    </row>
    <row r="8" spans="1:3" x14ac:dyDescent="0.35">
      <c r="A8" s="4" t="s">
        <v>35</v>
      </c>
      <c r="B8" s="5">
        <v>2832</v>
      </c>
      <c r="C8" s="5">
        <v>542</v>
      </c>
    </row>
    <row r="9" spans="1:3" x14ac:dyDescent="0.35">
      <c r="A9" s="6" t="s">
        <v>36</v>
      </c>
      <c r="B9" s="7">
        <v>32011</v>
      </c>
      <c r="C9" s="7">
        <v>25602</v>
      </c>
    </row>
    <row r="10" spans="1:3" x14ac:dyDescent="0.35">
      <c r="A10" s="4" t="s">
        <v>37</v>
      </c>
      <c r="B10" s="5">
        <v>860</v>
      </c>
      <c r="C10" s="5">
        <v>1287</v>
      </c>
    </row>
    <row r="11" spans="1:3" x14ac:dyDescent="0.35">
      <c r="A11" s="6" t="s">
        <v>38</v>
      </c>
      <c r="B11" s="7">
        <v>36854</v>
      </c>
      <c r="C11" s="7">
        <v>27775</v>
      </c>
    </row>
    <row r="13" spans="1:3" x14ac:dyDescent="0.35">
      <c r="A13" s="6" t="s">
        <v>39</v>
      </c>
      <c r="B13" s="7">
        <v>1158</v>
      </c>
      <c r="C13" s="7">
        <v>137</v>
      </c>
    </row>
    <row r="14" spans="1:3" x14ac:dyDescent="0.35">
      <c r="A14" s="4" t="s">
        <v>40</v>
      </c>
      <c r="B14" s="5">
        <v>4125</v>
      </c>
      <c r="C14" s="5">
        <v>5480</v>
      </c>
    </row>
    <row r="15" spans="1:3" x14ac:dyDescent="0.35">
      <c r="A15" s="6" t="s">
        <v>41</v>
      </c>
      <c r="B15" s="7">
        <v>2764</v>
      </c>
      <c r="C15" s="7">
        <v>1311</v>
      </c>
    </row>
    <row r="16" spans="1:3" x14ac:dyDescent="0.35">
      <c r="A16" s="4" t="s">
        <v>42</v>
      </c>
      <c r="B16" s="5">
        <v>303</v>
      </c>
      <c r="C16" s="5">
        <v>370</v>
      </c>
    </row>
    <row r="17" spans="1:3" x14ac:dyDescent="0.35">
      <c r="A17" s="6" t="s">
        <v>43</v>
      </c>
      <c r="B17" s="7">
        <v>45203</v>
      </c>
      <c r="C17" s="7">
        <v>35072</v>
      </c>
    </row>
    <row r="19" spans="1:3" x14ac:dyDescent="0.35">
      <c r="A19" s="9" t="s">
        <v>44</v>
      </c>
    </row>
    <row r="20" spans="1:3" x14ac:dyDescent="0.35">
      <c r="A20" s="4" t="s">
        <v>45</v>
      </c>
      <c r="B20" s="5">
        <v>7463</v>
      </c>
      <c r="C20" s="5">
        <v>5984</v>
      </c>
    </row>
    <row r="21" spans="1:3" x14ac:dyDescent="0.35">
      <c r="A21" s="6" t="s">
        <v>46</v>
      </c>
      <c r="B21" s="7">
        <v>2977</v>
      </c>
      <c r="C21" s="7">
        <v>3720</v>
      </c>
    </row>
    <row r="22" spans="1:3" x14ac:dyDescent="0.35">
      <c r="A22" s="4" t="s">
        <v>47</v>
      </c>
      <c r="B22" s="5">
        <v>9942</v>
      </c>
      <c r="C22" s="5">
        <v>10138</v>
      </c>
    </row>
    <row r="23" spans="1:3" x14ac:dyDescent="0.35">
      <c r="A23" s="6" t="s">
        <v>48</v>
      </c>
      <c r="B23" s="7">
        <v>909</v>
      </c>
      <c r="C23" s="7">
        <v>-174</v>
      </c>
    </row>
    <row r="24" spans="1:3" x14ac:dyDescent="0.35">
      <c r="A24" s="4" t="s">
        <v>49</v>
      </c>
      <c r="B24" s="5">
        <v>21292</v>
      </c>
      <c r="C24" s="5">
        <v>19668</v>
      </c>
    </row>
    <row r="26" spans="1:3" x14ac:dyDescent="0.35">
      <c r="A26" s="4" t="s">
        <v>50</v>
      </c>
      <c r="B26" s="5">
        <v>2432</v>
      </c>
      <c r="C26" s="5">
        <v>4184</v>
      </c>
    </row>
    <row r="27" spans="1:3" x14ac:dyDescent="0.35">
      <c r="A27" s="6" t="s">
        <v>51</v>
      </c>
      <c r="B27" s="7">
        <v>2268</v>
      </c>
      <c r="C27" s="7">
        <v>3591</v>
      </c>
    </row>
    <row r="28" spans="1:3" x14ac:dyDescent="0.35">
      <c r="A28" s="4" t="s">
        <v>52</v>
      </c>
      <c r="B28" s="5">
        <v>4636</v>
      </c>
      <c r="C28" s="5">
        <v>6168</v>
      </c>
    </row>
    <row r="29" spans="1:3" x14ac:dyDescent="0.35">
      <c r="A29" s="6" t="s">
        <v>53</v>
      </c>
      <c r="B29" s="7">
        <v>1392</v>
      </c>
      <c r="C29" s="7">
        <v>310</v>
      </c>
    </row>
    <row r="30" spans="1:3" x14ac:dyDescent="0.35">
      <c r="A30" s="4" t="s">
        <v>54</v>
      </c>
      <c r="B30" s="5">
        <v>2500</v>
      </c>
      <c r="C30" s="5">
        <v>2565</v>
      </c>
    </row>
    <row r="31" spans="1:3" x14ac:dyDescent="0.35">
      <c r="A31" s="6" t="s">
        <v>55</v>
      </c>
      <c r="B31" s="7">
        <v>1117</v>
      </c>
      <c r="C31" s="7">
        <v>192</v>
      </c>
    </row>
    <row r="32" spans="1:3" x14ac:dyDescent="0.35">
      <c r="A32" s="4" t="s">
        <v>56</v>
      </c>
      <c r="B32" s="5">
        <v>33636</v>
      </c>
      <c r="C32" s="5">
        <v>36678</v>
      </c>
    </row>
    <row r="34" spans="1:3" x14ac:dyDescent="0.35">
      <c r="A34" s="4" t="s">
        <v>57</v>
      </c>
      <c r="B34" s="5">
        <v>11567</v>
      </c>
      <c r="C34" s="5">
        <v>-1606</v>
      </c>
    </row>
    <row r="35" spans="1:3" x14ac:dyDescent="0.35">
      <c r="A35" s="6" t="s">
        <v>58</v>
      </c>
      <c r="B35" s="7">
        <v>45203</v>
      </c>
      <c r="C35" s="7">
        <v>35072</v>
      </c>
    </row>
  </sheetData>
  <mergeCells count="2">
    <mergeCell ref="A1:C1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sqref="A1:D1"/>
    </sheetView>
  </sheetViews>
  <sheetFormatPr defaultRowHeight="14.5" x14ac:dyDescent="0.35"/>
  <cols>
    <col min="1" max="1" width="42" customWidth="1"/>
    <col min="2" max="4" width="16" customWidth="1"/>
  </cols>
  <sheetData>
    <row r="1" spans="1:4" ht="15.5" x14ac:dyDescent="0.45">
      <c r="A1" s="14" t="s">
        <v>59</v>
      </c>
      <c r="B1" s="15"/>
      <c r="C1" s="15"/>
      <c r="D1" s="15"/>
    </row>
    <row r="3" spans="1:4" ht="15" x14ac:dyDescent="0.4">
      <c r="A3" s="16" t="s">
        <v>60</v>
      </c>
      <c r="B3" s="17"/>
      <c r="C3" s="17"/>
      <c r="D3" s="18"/>
    </row>
    <row r="4" spans="1:4" x14ac:dyDescent="0.35">
      <c r="A4" s="3" t="s">
        <v>3</v>
      </c>
      <c r="B4" s="3" t="s">
        <v>4</v>
      </c>
      <c r="C4" s="3" t="s">
        <v>5</v>
      </c>
      <c r="D4" s="3" t="s">
        <v>6</v>
      </c>
    </row>
    <row r="5" spans="1:4" x14ac:dyDescent="0.35">
      <c r="A5" s="4" t="s">
        <v>61</v>
      </c>
      <c r="B5" s="5">
        <v>-14758</v>
      </c>
      <c r="C5" s="5">
        <v>-1132</v>
      </c>
      <c r="D5" s="5">
        <v>-5988</v>
      </c>
    </row>
    <row r="6" spans="1:4" x14ac:dyDescent="0.35">
      <c r="A6" s="6" t="s">
        <v>62</v>
      </c>
      <c r="B6" s="7">
        <v>303</v>
      </c>
      <c r="C6" s="7">
        <v>-762</v>
      </c>
      <c r="D6" s="7">
        <v>-83</v>
      </c>
    </row>
    <row r="7" spans="1:4" x14ac:dyDescent="0.35">
      <c r="A7" s="4" t="s">
        <v>63</v>
      </c>
      <c r="B7" s="5">
        <v>8189</v>
      </c>
      <c r="C7" s="5">
        <v>2324</v>
      </c>
      <c r="D7" s="5">
        <v>5100</v>
      </c>
    </row>
    <row r="8" spans="1:4" x14ac:dyDescent="0.35">
      <c r="A8" s="6" t="s">
        <v>64</v>
      </c>
      <c r="B8" s="7">
        <v>-22</v>
      </c>
      <c r="C8" s="7">
        <v>120</v>
      </c>
      <c r="D8" s="7">
        <v>164</v>
      </c>
    </row>
    <row r="9" spans="1:4" x14ac:dyDescent="0.35">
      <c r="A9" s="4" t="s">
        <v>65</v>
      </c>
      <c r="B9" s="5">
        <v>-6288</v>
      </c>
      <c r="C9" s="5">
        <v>550</v>
      </c>
      <c r="D9" s="5">
        <v>-807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tabSelected="1" topLeftCell="A2" zoomScale="58" workbookViewId="0">
      <selection activeCell="C15" sqref="C15"/>
    </sheetView>
  </sheetViews>
  <sheetFormatPr defaultRowHeight="14.5" x14ac:dyDescent="0.35"/>
  <cols>
    <col min="1" max="1" width="42" customWidth="1"/>
    <col min="2" max="4" width="16" customWidth="1"/>
  </cols>
  <sheetData>
    <row r="1" spans="1:4" ht="15.5" x14ac:dyDescent="0.45">
      <c r="A1" s="14" t="s">
        <v>66</v>
      </c>
      <c r="B1" s="15"/>
      <c r="C1" s="15"/>
      <c r="D1" s="15"/>
    </row>
    <row r="2" spans="1:4" ht="26.5" x14ac:dyDescent="0.35">
      <c r="A2" s="2" t="s">
        <v>67</v>
      </c>
    </row>
    <row r="4" spans="1:4" ht="15" x14ac:dyDescent="0.4">
      <c r="A4" s="16" t="s">
        <v>68</v>
      </c>
      <c r="B4" s="17"/>
      <c r="C4" s="17"/>
      <c r="D4" s="18"/>
    </row>
    <row r="5" spans="1:4" x14ac:dyDescent="0.35">
      <c r="A5" s="3" t="s">
        <v>69</v>
      </c>
      <c r="B5" s="3" t="s">
        <v>4</v>
      </c>
      <c r="C5" s="3" t="s">
        <v>5</v>
      </c>
      <c r="D5" s="3" t="s">
        <v>6</v>
      </c>
    </row>
    <row r="6" spans="1:4" x14ac:dyDescent="0.35">
      <c r="A6" s="4" t="s">
        <v>70</v>
      </c>
      <c r="B6" s="10">
        <f>'Income Statement'!B8/'Income Statement'!B6</f>
        <v>0.18263804917372028</v>
      </c>
      <c r="C6" s="10">
        <f>'Income Statement'!C8/'Income Statement'!C6</f>
        <v>0.13643308209411287</v>
      </c>
      <c r="D6" s="10">
        <f>'Income Statement'!D8/'Income Statement'!D6</f>
        <v>0.11069683075527788</v>
      </c>
    </row>
    <row r="7" spans="1:4" x14ac:dyDescent="0.35">
      <c r="A7" s="6" t="s">
        <v>71</v>
      </c>
      <c r="B7" s="10">
        <f>ABS('Income Statement'!B10/'Income Statement'!B6)</f>
        <v>0.51730652962515111</v>
      </c>
      <c r="C7" s="10">
        <f>ABS('Income Statement'!C10/'Income Statement'!C6)</f>
        <v>0.56426970869830928</v>
      </c>
      <c r="D7" s="10">
        <f>ABS('Income Statement'!D10/'Income Statement'!D6)</f>
        <v>1.0135536856955711</v>
      </c>
    </row>
    <row r="8" spans="1:4" x14ac:dyDescent="0.35">
      <c r="A8" s="4" t="s">
        <v>72</v>
      </c>
      <c r="B8" s="10">
        <f>('Income Statement'!B23/'Income Statement'!B6)</f>
        <v>-0.33466848045143088</v>
      </c>
      <c r="C8" s="10">
        <f>ABS('Income Statement'!C23/'Income Statement'!C6)</f>
        <v>0.42783662660419636</v>
      </c>
      <c r="D8" s="10">
        <f>ABS('Income Statement'!D23/'Income Statement'!D6)</f>
        <v>0.90290724038897563</v>
      </c>
    </row>
    <row r="9" spans="1:4" x14ac:dyDescent="0.35">
      <c r="A9" s="6" t="s">
        <v>73</v>
      </c>
      <c r="B9" s="10"/>
      <c r="C9" s="10">
        <f>'Balance Sheet'!B11/'Balance Sheet'!B24</f>
        <v>1.7308848393762917</v>
      </c>
      <c r="D9" s="10">
        <f>'Balance Sheet'!C11/'Balance Sheet'!C24</f>
        <v>1.4121923937360179</v>
      </c>
    </row>
    <row r="10" spans="1:4" x14ac:dyDescent="0.35">
      <c r="A10" s="4" t="s">
        <v>74</v>
      </c>
      <c r="B10" s="10"/>
      <c r="C10" s="10">
        <f>'Balance Sheet'!B9/'Income Statement'!C6</f>
        <v>0.81511000203707473</v>
      </c>
      <c r="D10" s="10">
        <f>'Balance Sheet'!C9/'Income Statement'!D6</f>
        <v>1.2899682571673301</v>
      </c>
    </row>
    <row r="11" spans="1:4" x14ac:dyDescent="0.35">
      <c r="A11" s="6" t="s">
        <v>75</v>
      </c>
      <c r="B11" s="10"/>
      <c r="C11" s="10">
        <f>'Balance Sheet'!B8/'Income Statement'!C6</f>
        <v>7.2112446526787527E-2</v>
      </c>
      <c r="D11" s="10">
        <f>'Balance Sheet'!C8/'Income Statement'!D6</f>
        <v>2.7308913185871919E-2</v>
      </c>
    </row>
    <row r="12" spans="1:4" x14ac:dyDescent="0.35">
      <c r="A12" s="4" t="s">
        <v>76</v>
      </c>
      <c r="B12" s="10"/>
      <c r="C12" s="10"/>
      <c r="D12" s="10"/>
    </row>
    <row r="13" spans="1:4" x14ac:dyDescent="0.35">
      <c r="A13" s="6" t="s">
        <v>77</v>
      </c>
      <c r="B13" s="10">
        <f>-'Income Statement'!B23/'Income Statement'!B24</f>
        <v>-8.5709677419354833</v>
      </c>
      <c r="C13" s="10">
        <f>-'Income Statement'!C23/'Income Statement'!C24</f>
        <v>-10.805144694533762</v>
      </c>
      <c r="D13" s="10">
        <f>-'Income Statement'!D23/'Income Statement'!D24</f>
        <v>-8.235294117647058</v>
      </c>
    </row>
    <row r="14" spans="1:4" x14ac:dyDescent="0.35">
      <c r="A14" s="4" t="s">
        <v>78</v>
      </c>
      <c r="B14" s="10"/>
      <c r="C14" s="10">
        <f>'Balance Sheet'!B32/'Balance Sheet'!B34</f>
        <v>2.9079277254257803</v>
      </c>
      <c r="D14" s="10">
        <f>'Balance Sheet'!C32/'Balance Sheet'!C34</f>
        <v>-22.838107098381069</v>
      </c>
    </row>
  </sheetData>
  <mergeCells count="2">
    <mergeCell ref="A1:D1"/>
    <mergeCell ref="A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2"/>
  <sheetViews>
    <sheetView topLeftCell="A21" zoomScale="67" zoomScaleNormal="80" workbookViewId="0">
      <selection activeCell="D2" sqref="D2:I14"/>
    </sheetView>
  </sheetViews>
  <sheetFormatPr defaultRowHeight="14.5" x14ac:dyDescent="0.35"/>
  <cols>
    <col min="1" max="1" width="42" customWidth="1"/>
    <col min="2" max="3" width="14" customWidth="1"/>
    <col min="4" max="4" width="18" customWidth="1"/>
    <col min="5" max="7" width="14" customWidth="1"/>
  </cols>
  <sheetData>
    <row r="1" spans="1:9" ht="15.5" x14ac:dyDescent="0.45">
      <c r="A1" s="14" t="s">
        <v>79</v>
      </c>
      <c r="B1" s="15"/>
      <c r="C1" s="15"/>
      <c r="D1" s="15"/>
      <c r="E1" s="15"/>
      <c r="F1" s="15"/>
      <c r="G1" s="15"/>
    </row>
    <row r="2" spans="1:9" ht="26.5" x14ac:dyDescent="0.35">
      <c r="A2" s="2" t="s">
        <v>80</v>
      </c>
      <c r="D2" s="21"/>
      <c r="E2" s="21" t="s">
        <v>144</v>
      </c>
      <c r="F2" s="22">
        <v>0.495</v>
      </c>
      <c r="G2" s="21"/>
      <c r="H2" s="21"/>
      <c r="I2" s="21"/>
    </row>
    <row r="3" spans="1:9" x14ac:dyDescent="0.35">
      <c r="D3" s="21"/>
      <c r="E3" s="21" t="s">
        <v>143</v>
      </c>
      <c r="F3" s="21">
        <v>1.19</v>
      </c>
      <c r="G3" s="21">
        <f>F3*1000</f>
        <v>1190</v>
      </c>
      <c r="H3" s="21"/>
      <c r="I3" s="21"/>
    </row>
    <row r="4" spans="1:9" ht="15" x14ac:dyDescent="0.4">
      <c r="A4" s="16" t="s">
        <v>81</v>
      </c>
      <c r="B4" s="18"/>
      <c r="D4" s="21"/>
      <c r="E4" s="21"/>
      <c r="F4" s="21"/>
      <c r="G4" s="21"/>
      <c r="H4" s="21"/>
      <c r="I4" s="21"/>
    </row>
    <row r="5" spans="1:9" x14ac:dyDescent="0.35">
      <c r="A5" s="6" t="s">
        <v>82</v>
      </c>
      <c r="B5" s="11">
        <v>0.04</v>
      </c>
      <c r="D5" s="21"/>
      <c r="E5" s="21"/>
      <c r="F5" s="21"/>
      <c r="G5" s="21"/>
      <c r="H5" s="21"/>
      <c r="I5" s="21"/>
    </row>
    <row r="6" spans="1:9" x14ac:dyDescent="0.35">
      <c r="A6" s="6" t="s">
        <v>83</v>
      </c>
      <c r="B6" s="11">
        <v>5.5E-2</v>
      </c>
      <c r="D6" s="21"/>
      <c r="E6" s="23" t="s">
        <v>141</v>
      </c>
      <c r="F6" s="21">
        <v>3.6</v>
      </c>
      <c r="G6" s="21">
        <f>F6*1000</f>
        <v>3600</v>
      </c>
      <c r="H6" s="21"/>
      <c r="I6" s="21"/>
    </row>
    <row r="7" spans="1:9" x14ac:dyDescent="0.35">
      <c r="A7" s="6" t="s">
        <v>84</v>
      </c>
      <c r="B7" s="11">
        <v>1.2E-2</v>
      </c>
      <c r="D7" s="21"/>
      <c r="E7" s="23" t="s">
        <v>142</v>
      </c>
      <c r="F7" s="24">
        <f>'Balance Sheet'!C20+'Balance Sheet'!C26+'Balance Sheet'!C27+'Balance Sheet'!C28</f>
        <v>19927</v>
      </c>
      <c r="G7" s="21"/>
      <c r="H7" s="21"/>
      <c r="I7" s="21"/>
    </row>
    <row r="8" spans="1:9" x14ac:dyDescent="0.35">
      <c r="A8" s="6" t="s">
        <v>85</v>
      </c>
      <c r="B8" s="11">
        <f>B5+(B7*B6)</f>
        <v>4.0660000000000002E-2</v>
      </c>
      <c r="D8" s="21"/>
      <c r="E8" s="21"/>
      <c r="F8" s="21"/>
      <c r="G8" s="21"/>
      <c r="H8" s="21"/>
      <c r="I8" s="21"/>
    </row>
    <row r="9" spans="1:9" x14ac:dyDescent="0.35">
      <c r="A9" s="6" t="s">
        <v>86</v>
      </c>
      <c r="B9" s="11">
        <f>ABS('Income Statement'!B24/(('Balance Sheet'!C20+'Balance Sheet'!C27+'Balance Sheet'!C28+'Balance Sheet'!C26)/2))</f>
        <v>0.15556782255231597</v>
      </c>
      <c r="D9" s="21"/>
      <c r="E9" s="21"/>
      <c r="F9" s="21"/>
      <c r="G9" s="21"/>
      <c r="H9" s="21"/>
      <c r="I9" s="21"/>
    </row>
    <row r="10" spans="1:9" x14ac:dyDescent="0.35">
      <c r="A10" s="6" t="s">
        <v>87</v>
      </c>
      <c r="B10" s="11">
        <v>0.21</v>
      </c>
      <c r="D10" s="21"/>
      <c r="E10" s="21"/>
      <c r="F10" s="21"/>
      <c r="G10" s="21"/>
      <c r="H10" s="21"/>
      <c r="I10" s="21"/>
    </row>
    <row r="11" spans="1:9" x14ac:dyDescent="0.35">
      <c r="A11" s="6" t="s">
        <v>88</v>
      </c>
      <c r="B11" s="11">
        <f>B9*(1-B10)</f>
        <v>0.12289857981632962</v>
      </c>
      <c r="D11" s="21"/>
      <c r="E11" s="21"/>
      <c r="F11" s="21"/>
      <c r="G11" s="21"/>
      <c r="H11" s="21"/>
      <c r="I11" s="21"/>
    </row>
    <row r="12" spans="1:9" x14ac:dyDescent="0.35">
      <c r="A12" s="6" t="s">
        <v>89</v>
      </c>
      <c r="B12" s="11">
        <f>G6/(F7+G6)</f>
        <v>0.15301568410762104</v>
      </c>
      <c r="D12" s="21"/>
      <c r="E12" s="21"/>
      <c r="F12" s="21"/>
      <c r="G12" s="21"/>
      <c r="H12" s="21"/>
      <c r="I12" s="21"/>
    </row>
    <row r="13" spans="1:9" x14ac:dyDescent="0.35">
      <c r="A13" s="6" t="s">
        <v>90</v>
      </c>
      <c r="B13" s="11">
        <f>F7/(G6+F7)</f>
        <v>0.84698431589237899</v>
      </c>
      <c r="D13" s="23" t="s">
        <v>145</v>
      </c>
      <c r="E13" s="25">
        <v>0.2</v>
      </c>
      <c r="F13" s="25">
        <v>0.15</v>
      </c>
      <c r="G13" s="25">
        <v>0.1</v>
      </c>
      <c r="H13" s="25">
        <v>0.08</v>
      </c>
      <c r="I13" s="25">
        <v>0.06</v>
      </c>
    </row>
    <row r="14" spans="1:9" x14ac:dyDescent="0.35">
      <c r="A14" s="6" t="s">
        <v>91</v>
      </c>
      <c r="B14" s="11">
        <f>B12*B8 + B13*B11</f>
        <v>0.11031478726569476</v>
      </c>
      <c r="D14" s="23" t="s">
        <v>146</v>
      </c>
      <c r="E14" s="25">
        <v>0.84</v>
      </c>
      <c r="F14" s="21"/>
      <c r="G14" s="21"/>
      <c r="H14" s="21"/>
      <c r="I14" s="21"/>
    </row>
    <row r="17" spans="1:17" ht="15" x14ac:dyDescent="0.4">
      <c r="A17" s="16" t="s">
        <v>92</v>
      </c>
      <c r="B17" s="17"/>
      <c r="C17" s="17"/>
      <c r="D17" s="17"/>
      <c r="E17" s="17"/>
      <c r="F17" s="17"/>
      <c r="G17" s="18"/>
    </row>
    <row r="18" spans="1:17" x14ac:dyDescent="0.35">
      <c r="A18" s="3" t="s">
        <v>3</v>
      </c>
      <c r="B18" s="3" t="s">
        <v>93</v>
      </c>
      <c r="C18" s="3" t="s">
        <v>94</v>
      </c>
      <c r="D18" s="3" t="s">
        <v>95</v>
      </c>
      <c r="E18" s="3" t="s">
        <v>96</v>
      </c>
      <c r="F18" s="3" t="s">
        <v>97</v>
      </c>
    </row>
    <row r="19" spans="1:17" x14ac:dyDescent="0.35">
      <c r="A19" s="6" t="s">
        <v>7</v>
      </c>
      <c r="B19" s="12">
        <f>'Income Statement'!D6*(1+'Scenario Analysis'!C5)</f>
        <v>20839.350000000002</v>
      </c>
      <c r="C19" s="12">
        <f>B19*(1+'Scenario Analysis'!C5)</f>
        <v>21881.317500000005</v>
      </c>
      <c r="D19" s="12">
        <f>C19*(1+'Scenario Analysis'!C5)</f>
        <v>22975.383375000005</v>
      </c>
      <c r="E19" s="12">
        <f>D19*(1+'Scenario Analysis'!C5)</f>
        <v>24124.152543750006</v>
      </c>
      <c r="F19" s="12">
        <f>E19*(1+'Scenario Analysis'!C5)</f>
        <v>25330.360170937507</v>
      </c>
      <c r="G19" s="12"/>
    </row>
    <row r="20" spans="1:17" x14ac:dyDescent="0.35">
      <c r="A20" s="6" t="s">
        <v>98</v>
      </c>
      <c r="B20" s="12">
        <f>-B19*'Scenario Analysis'!C6</f>
        <v>-15629.512500000001</v>
      </c>
      <c r="C20" s="12">
        <f>-C19*'Scenario Analysis'!C6</f>
        <v>-16410.988125000003</v>
      </c>
      <c r="D20" s="12">
        <f>-D19*'Scenario Analysis'!C6</f>
        <v>-17231.537531250004</v>
      </c>
      <c r="E20" s="12">
        <f>-E19*'Scenario Analysis'!C6</f>
        <v>-18093.114407812503</v>
      </c>
      <c r="F20" s="12">
        <f>-F19*'Scenario Analysis'!C6</f>
        <v>-18997.77012820313</v>
      </c>
      <c r="G20" s="12"/>
    </row>
    <row r="21" spans="1:17" x14ac:dyDescent="0.35">
      <c r="A21" s="6" t="s">
        <v>99</v>
      </c>
      <c r="B21" s="12">
        <f>-B19*'Scenario Analysis'!C7</f>
        <v>-13545.577500000001</v>
      </c>
      <c r="C21" s="12">
        <f>-C19*'Scenario Analysis'!C7</f>
        <v>-14222.856375000003</v>
      </c>
      <c r="D21" s="12">
        <f>-D19*'Scenario Analysis'!C7</f>
        <v>-14933.999193750004</v>
      </c>
      <c r="E21" s="12">
        <f>-E19*'Scenario Analysis'!C7</f>
        <v>-15680.699153437505</v>
      </c>
      <c r="F21" s="12">
        <f>-F19*'Scenario Analysis'!C7</f>
        <v>-16464.734111109381</v>
      </c>
      <c r="G21" s="12"/>
    </row>
    <row r="22" spans="1:17" x14ac:dyDescent="0.35">
      <c r="A22" s="6" t="s">
        <v>100</v>
      </c>
      <c r="B22" s="12">
        <f>SUM(B19:B21)</f>
        <v>-8335.74</v>
      </c>
      <c r="C22" s="12">
        <f t="shared" ref="C22:F22" si="0">SUM(C19:C21)</f>
        <v>-8752.5270000000019</v>
      </c>
      <c r="D22" s="12">
        <f t="shared" si="0"/>
        <v>-9190.1533500000023</v>
      </c>
      <c r="E22" s="12">
        <f t="shared" si="0"/>
        <v>-9649.6610175000023</v>
      </c>
      <c r="F22" s="12">
        <f t="shared" si="0"/>
        <v>-10132.144068375004</v>
      </c>
      <c r="G22" s="12"/>
    </row>
    <row r="23" spans="1:17" x14ac:dyDescent="0.35">
      <c r="A23" s="6" t="s">
        <v>101</v>
      </c>
      <c r="B23" s="12">
        <f>B22*(1-B10)</f>
        <v>-6585.2345999999998</v>
      </c>
      <c r="C23" s="12">
        <f>C22*(1-B10)</f>
        <v>-6914.4963300000018</v>
      </c>
      <c r="D23" s="12">
        <f>D22*(1-B10)</f>
        <v>-7260.2211465000019</v>
      </c>
      <c r="E23" s="12">
        <f>E22*(1-B10)</f>
        <v>-7623.2322038250022</v>
      </c>
      <c r="F23" s="12">
        <f>F22*(1-B10)</f>
        <v>-8004.3938140162536</v>
      </c>
      <c r="G23" s="12"/>
    </row>
    <row r="24" spans="1:17" x14ac:dyDescent="0.35">
      <c r="A24" s="6" t="s">
        <v>102</v>
      </c>
      <c r="B24" s="12">
        <f>'Balance Sheet'!C15*'Scenario Analysis'!C9</f>
        <v>1311</v>
      </c>
      <c r="C24" s="12">
        <f>'Balance Sheet'!C15*'Scenario Analysis'!C9</f>
        <v>1311</v>
      </c>
      <c r="D24" s="12">
        <f>'Balance Sheet'!C15*'Scenario Analysis'!C9</f>
        <v>1311</v>
      </c>
      <c r="E24" s="12">
        <f>'Balance Sheet'!C15*'Scenario Analysis'!C9</f>
        <v>1311</v>
      </c>
      <c r="F24" s="12">
        <f>'Balance Sheet'!C15*'Scenario Analysis'!C9</f>
        <v>1311</v>
      </c>
      <c r="G24" s="12"/>
      <c r="K24" t="s">
        <v>148</v>
      </c>
      <c r="L24" t="s">
        <v>147</v>
      </c>
      <c r="M24" s="3" t="s">
        <v>93</v>
      </c>
      <c r="N24" s="3" t="s">
        <v>94</v>
      </c>
      <c r="O24" s="3" t="s">
        <v>95</v>
      </c>
      <c r="P24" s="3" t="s">
        <v>96</v>
      </c>
      <c r="Q24" s="3" t="s">
        <v>97</v>
      </c>
    </row>
    <row r="25" spans="1:17" x14ac:dyDescent="0.35">
      <c r="A25" s="6" t="s">
        <v>103</v>
      </c>
      <c r="B25" s="12">
        <f>SUM(B23:B24)</f>
        <v>-5274.2345999999998</v>
      </c>
      <c r="C25" s="12">
        <f t="shared" ref="C25:E25" si="1">SUM(C23:C24)</f>
        <v>-5603.4963300000018</v>
      </c>
      <c r="D25" s="12">
        <f t="shared" si="1"/>
        <v>-5949.2211465000019</v>
      </c>
      <c r="E25" s="12">
        <f t="shared" si="1"/>
        <v>-6312.2322038250022</v>
      </c>
      <c r="F25" s="12">
        <f>SUM(F23:F24)</f>
        <v>-6693.3938140162536</v>
      </c>
      <c r="G25" s="12"/>
      <c r="K25" s="20">
        <f>'Balance Sheet'!B11-'Balance Sheet'!B24</f>
        <v>15562</v>
      </c>
      <c r="L25" s="20" t="s">
        <v>149</v>
      </c>
      <c r="M25">
        <f>B19*'Ratio Calculator'!D11</f>
        <v>569.1</v>
      </c>
      <c r="N25">
        <f>C19*'Ratio Calculator'!D11</f>
        <v>597.55500000000006</v>
      </c>
      <c r="O25">
        <f>D19*'Ratio Calculator'!D11</f>
        <v>627.43275000000006</v>
      </c>
      <c r="P25">
        <f>E19*'Ratio Calculator'!D11</f>
        <v>658.80438750000019</v>
      </c>
      <c r="Q25">
        <f>F19*'Ratio Calculator'!D11</f>
        <v>691.74460687500016</v>
      </c>
    </row>
    <row r="26" spans="1:17" x14ac:dyDescent="0.35">
      <c r="A26" s="6" t="s">
        <v>104</v>
      </c>
      <c r="B26" s="12">
        <v>150</v>
      </c>
      <c r="C26" s="12">
        <v>160</v>
      </c>
      <c r="D26" s="12">
        <v>165</v>
      </c>
      <c r="E26" s="12">
        <v>175</v>
      </c>
      <c r="F26" s="12">
        <v>180</v>
      </c>
      <c r="G26" s="12"/>
      <c r="M26">
        <f>M25/B19</f>
        <v>2.7308913185871919E-2</v>
      </c>
      <c r="N26">
        <f t="shared" ref="N26:Q26" si="2">N25/C19</f>
        <v>2.7308913185871916E-2</v>
      </c>
      <c r="O26">
        <f t="shared" si="2"/>
        <v>2.7308913185871916E-2</v>
      </c>
      <c r="P26">
        <f t="shared" si="2"/>
        <v>2.7308913185871923E-2</v>
      </c>
      <c r="Q26">
        <f t="shared" si="2"/>
        <v>2.7308913185871919E-2</v>
      </c>
    </row>
    <row r="27" spans="1:17" x14ac:dyDescent="0.35">
      <c r="A27" s="6" t="s">
        <v>105</v>
      </c>
      <c r="B27" s="12">
        <v>100</v>
      </c>
      <c r="C27" s="12">
        <v>100</v>
      </c>
      <c r="D27" s="12">
        <v>105</v>
      </c>
      <c r="E27" s="12">
        <v>110</v>
      </c>
      <c r="F27" s="12">
        <v>115</v>
      </c>
      <c r="G27" s="12"/>
    </row>
    <row r="28" spans="1:17" x14ac:dyDescent="0.35">
      <c r="A28" s="6" t="s">
        <v>106</v>
      </c>
      <c r="B28" s="12">
        <f>B25-B26-B27</f>
        <v>-5524.2345999999998</v>
      </c>
      <c r="C28" s="12">
        <f t="shared" ref="C28:F28" si="3">C25-C26-C27</f>
        <v>-5863.4963300000018</v>
      </c>
      <c r="D28" s="12">
        <f t="shared" si="3"/>
        <v>-6219.2211465000019</v>
      </c>
      <c r="E28" s="12">
        <f t="shared" si="3"/>
        <v>-6597.2322038250022</v>
      </c>
      <c r="F28" s="12">
        <f t="shared" si="3"/>
        <v>-6988.3938140162536</v>
      </c>
      <c r="G28" s="12"/>
    </row>
    <row r="31" spans="1:17" ht="15" x14ac:dyDescent="0.4">
      <c r="A31" s="16" t="s">
        <v>107</v>
      </c>
      <c r="B31" s="18"/>
      <c r="F31" t="s">
        <v>150</v>
      </c>
      <c r="G31" s="19">
        <v>0.02</v>
      </c>
    </row>
    <row r="32" spans="1:17" x14ac:dyDescent="0.35">
      <c r="A32" s="6" t="s">
        <v>108</v>
      </c>
      <c r="B32" s="12">
        <f>SUM(B28:F28)/(1+B14)^5</f>
        <v>-18485.050949954868</v>
      </c>
    </row>
    <row r="33" spans="1:2" x14ac:dyDescent="0.35">
      <c r="A33" s="6" t="s">
        <v>109</v>
      </c>
      <c r="B33" s="12">
        <f>((F28*(1+G31))/(B14-G31))*(1/(1+B14))</f>
        <v>-71084.114092169475</v>
      </c>
    </row>
    <row r="34" spans="1:2" x14ac:dyDescent="0.35">
      <c r="A34" s="6" t="s">
        <v>110</v>
      </c>
      <c r="B34" s="12">
        <f>B32+B33</f>
        <v>-89569.165042124339</v>
      </c>
    </row>
    <row r="35" spans="1:2" x14ac:dyDescent="0.35">
      <c r="A35" s="6" t="s">
        <v>111</v>
      </c>
      <c r="B35" s="12">
        <v>0</v>
      </c>
    </row>
    <row r="36" spans="1:2" x14ac:dyDescent="0.35">
      <c r="A36" s="6" t="s">
        <v>112</v>
      </c>
      <c r="B36" s="12">
        <f>SUM(B34:B35)</f>
        <v>-89569.165042124339</v>
      </c>
    </row>
    <row r="37" spans="1:2" x14ac:dyDescent="0.35">
      <c r="A37" s="6" t="s">
        <v>113</v>
      </c>
      <c r="B37" s="12">
        <f>'Balance Sheet'!C20+'Balance Sheet'!C26+'Balance Sheet'!C27+'Balance Sheet'!C28</f>
        <v>19927</v>
      </c>
    </row>
    <row r="38" spans="1:2" x14ac:dyDescent="0.35">
      <c r="A38" s="6" t="s">
        <v>114</v>
      </c>
      <c r="B38" s="12">
        <f>'Balance Sheet'!C29+'Balance Sheet'!C30+'Balance Sheet'!C31</f>
        <v>3067</v>
      </c>
    </row>
    <row r="39" spans="1:2" x14ac:dyDescent="0.35">
      <c r="A39" s="6" t="s">
        <v>115</v>
      </c>
      <c r="B39" s="12">
        <f>B36-B37-B38</f>
        <v>-112563.16504212434</v>
      </c>
    </row>
    <row r="40" spans="1:2" x14ac:dyDescent="0.35">
      <c r="A40" s="6" t="s">
        <v>116</v>
      </c>
      <c r="B40" s="12">
        <v>27580</v>
      </c>
    </row>
    <row r="41" spans="1:2" x14ac:dyDescent="0.35">
      <c r="A41" s="6" t="s">
        <v>117</v>
      </c>
      <c r="B41" s="12">
        <f>B39/B40</f>
        <v>-4.0813330327093666</v>
      </c>
    </row>
    <row r="42" spans="1:2" x14ac:dyDescent="0.35">
      <c r="A42" s="6" t="s">
        <v>118</v>
      </c>
      <c r="B42" s="12">
        <v>1.19</v>
      </c>
    </row>
  </sheetData>
  <mergeCells count="4">
    <mergeCell ref="A4:B4"/>
    <mergeCell ref="A31:B31"/>
    <mergeCell ref="A1:G1"/>
    <mergeCell ref="A17:G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"/>
  <sheetViews>
    <sheetView topLeftCell="A2" zoomScale="90" zoomScaleNormal="90" workbookViewId="0">
      <selection activeCell="B22" sqref="B22:D22"/>
    </sheetView>
  </sheetViews>
  <sheetFormatPr defaultRowHeight="14.5" x14ac:dyDescent="0.35"/>
  <cols>
    <col min="1" max="1" width="35" customWidth="1"/>
    <col min="2" max="5" width="16" customWidth="1"/>
  </cols>
  <sheetData>
    <row r="1" spans="1:4" ht="15.5" x14ac:dyDescent="0.45">
      <c r="A1" s="14" t="s">
        <v>119</v>
      </c>
      <c r="B1" s="15"/>
      <c r="C1" s="15"/>
      <c r="D1" s="15"/>
    </row>
    <row r="3" spans="1:4" ht="15" x14ac:dyDescent="0.4">
      <c r="A3" s="16" t="s">
        <v>120</v>
      </c>
      <c r="B3" s="17"/>
      <c r="C3" s="17"/>
      <c r="D3" s="18"/>
    </row>
    <row r="4" spans="1:4" x14ac:dyDescent="0.35">
      <c r="A4" s="3" t="s">
        <v>121</v>
      </c>
      <c r="B4" s="3" t="s">
        <v>122</v>
      </c>
      <c r="C4" s="3" t="s">
        <v>123</v>
      </c>
      <c r="D4" s="3" t="s">
        <v>124</v>
      </c>
    </row>
    <row r="5" spans="1:4" x14ac:dyDescent="0.35">
      <c r="A5" s="6" t="s">
        <v>125</v>
      </c>
      <c r="B5" s="11">
        <v>0.15</v>
      </c>
      <c r="C5" s="11">
        <v>0.05</v>
      </c>
      <c r="D5" s="11">
        <v>0.2</v>
      </c>
    </row>
    <row r="6" spans="1:4" x14ac:dyDescent="0.35">
      <c r="A6" s="6" t="s">
        <v>126</v>
      </c>
      <c r="B6" s="11">
        <v>0.85</v>
      </c>
      <c r="C6" s="11">
        <v>0.75</v>
      </c>
      <c r="D6" s="11">
        <v>0.65</v>
      </c>
    </row>
    <row r="7" spans="1:4" x14ac:dyDescent="0.35">
      <c r="A7" s="6" t="s">
        <v>71</v>
      </c>
      <c r="B7" s="11">
        <v>0.95</v>
      </c>
      <c r="C7" s="11">
        <v>0.65</v>
      </c>
      <c r="D7" s="11">
        <v>0.35</v>
      </c>
    </row>
    <row r="8" spans="1:4" x14ac:dyDescent="0.35">
      <c r="A8" s="6" t="s">
        <v>127</v>
      </c>
      <c r="B8" s="11">
        <v>0.5</v>
      </c>
      <c r="C8" s="11">
        <v>0.8</v>
      </c>
      <c r="D8" s="11">
        <v>1.2</v>
      </c>
    </row>
    <row r="9" spans="1:4" x14ac:dyDescent="0.35">
      <c r="A9" s="6" t="s">
        <v>128</v>
      </c>
      <c r="B9" s="11">
        <v>1.2</v>
      </c>
      <c r="C9" s="11">
        <v>1</v>
      </c>
      <c r="D9" s="11">
        <v>0.85</v>
      </c>
    </row>
    <row r="10" spans="1:4" x14ac:dyDescent="0.35">
      <c r="A10" s="6" t="s">
        <v>129</v>
      </c>
      <c r="B10" s="11">
        <v>0.8</v>
      </c>
      <c r="C10" s="11">
        <v>1.2</v>
      </c>
      <c r="D10" s="11">
        <v>1.8</v>
      </c>
    </row>
    <row r="11" spans="1:4" x14ac:dyDescent="0.35">
      <c r="A11" s="6" t="s">
        <v>130</v>
      </c>
      <c r="B11" s="11">
        <v>0.21</v>
      </c>
      <c r="C11" s="11">
        <v>0.21</v>
      </c>
      <c r="D11" s="11">
        <v>0.21</v>
      </c>
    </row>
    <row r="12" spans="1:4" x14ac:dyDescent="0.35">
      <c r="A12" s="6" t="s">
        <v>131</v>
      </c>
      <c r="B12" s="11">
        <v>0.12</v>
      </c>
      <c r="C12" s="11">
        <v>0.1</v>
      </c>
      <c r="D12" s="11">
        <v>8.5000000000000006E-2</v>
      </c>
    </row>
    <row r="13" spans="1:4" x14ac:dyDescent="0.35">
      <c r="A13" s="6" t="s">
        <v>91</v>
      </c>
      <c r="B13" s="11">
        <v>0.14499999999999999</v>
      </c>
      <c r="C13" s="11">
        <v>0.12</v>
      </c>
      <c r="D13" s="11">
        <v>9.5000000000000001E-2</v>
      </c>
    </row>
    <row r="16" spans="1:4" ht="15" x14ac:dyDescent="0.4">
      <c r="A16" s="16" t="s">
        <v>132</v>
      </c>
      <c r="B16" s="17"/>
      <c r="C16" s="17"/>
      <c r="D16" s="18"/>
    </row>
    <row r="17" spans="1:4" x14ac:dyDescent="0.35">
      <c r="A17" s="3" t="s">
        <v>133</v>
      </c>
      <c r="B17" s="3" t="s">
        <v>122</v>
      </c>
      <c r="C17" s="3" t="s">
        <v>123</v>
      </c>
      <c r="D17" s="3" t="s">
        <v>124</v>
      </c>
    </row>
    <row r="18" spans="1:4" x14ac:dyDescent="0.35">
      <c r="A18" s="6" t="s">
        <v>115</v>
      </c>
      <c r="B18" s="12">
        <f>'DCF Valuation'!B39-'DCF Valuation'!B37</f>
        <v>-132490.16504212434</v>
      </c>
      <c r="C18" s="12">
        <v>-90000</v>
      </c>
      <c r="D18" s="12">
        <v>-30000</v>
      </c>
    </row>
    <row r="19" spans="1:4" x14ac:dyDescent="0.35">
      <c r="A19" s="6" t="s">
        <v>117</v>
      </c>
      <c r="B19" s="12">
        <f>'DCF Valuation'!B41</f>
        <v>-4.0813330327093666</v>
      </c>
      <c r="C19" s="12">
        <f>C18/'DCF Valuation'!B40</f>
        <v>-3.2632342277012327</v>
      </c>
      <c r="D19" s="12">
        <f>D18/'DCF Valuation'!B40</f>
        <v>-1.0877447425670776</v>
      </c>
    </row>
    <row r="20" spans="1:4" x14ac:dyDescent="0.35">
      <c r="A20" s="6" t="s">
        <v>118</v>
      </c>
      <c r="B20" s="12">
        <v>1.19</v>
      </c>
      <c r="C20" s="12">
        <v>1.19</v>
      </c>
      <c r="D20" s="12">
        <v>1.19</v>
      </c>
    </row>
    <row r="21" spans="1:4" x14ac:dyDescent="0.35">
      <c r="A21" s="6" t="s">
        <v>134</v>
      </c>
      <c r="B21" s="12">
        <f>(B19-B20)/B20</f>
        <v>-4.4296916241255175</v>
      </c>
      <c r="C21" s="12">
        <f t="shared" ref="C21:D21" si="0">(C19-C20)/C20</f>
        <v>-3.7422136367237249</v>
      </c>
      <c r="D21" s="12">
        <f t="shared" si="0"/>
        <v>-1.9140712122412415</v>
      </c>
    </row>
    <row r="22" spans="1:4" x14ac:dyDescent="0.35">
      <c r="A22" s="6" t="s">
        <v>135</v>
      </c>
      <c r="B22" s="12" t="str">
        <f>IF(B19&gt;B20,"Acquire",IF(B19&gt;0,"Hold/Monitor","Pass"))</f>
        <v>Pass</v>
      </c>
      <c r="C22" s="12" t="str">
        <f t="shared" ref="C22:D22" si="1">IF(C19&gt;C20,"Acquire",IF(C19&gt;0,"Hold/Monitor","Pass"))</f>
        <v>Pass</v>
      </c>
      <c r="D22" s="12" t="str">
        <f t="shared" si="1"/>
        <v>Pass</v>
      </c>
    </row>
  </sheetData>
  <mergeCells count="3">
    <mergeCell ref="A1:D1"/>
    <mergeCell ref="A3:D3"/>
    <mergeCell ref="A16:D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1"/>
  <sheetViews>
    <sheetView topLeftCell="A10" zoomScale="80" workbookViewId="0">
      <selection activeCell="D8" sqref="D8"/>
    </sheetView>
  </sheetViews>
  <sheetFormatPr defaultRowHeight="14.5" x14ac:dyDescent="0.35"/>
  <cols>
    <col min="1" max="1" width="80" customWidth="1"/>
  </cols>
  <sheetData>
    <row r="1" spans="1:1" ht="18.5" x14ac:dyDescent="0.45">
      <c r="A1" s="1" t="s">
        <v>136</v>
      </c>
    </row>
    <row r="3" spans="1:1" x14ac:dyDescent="0.35">
      <c r="A3" s="9" t="s">
        <v>137</v>
      </c>
    </row>
    <row r="4" spans="1:1" ht="25" customHeight="1" x14ac:dyDescent="0.35">
      <c r="A4" s="13" t="s">
        <v>151</v>
      </c>
    </row>
    <row r="5" spans="1:1" ht="25" customHeight="1" x14ac:dyDescent="0.35">
      <c r="A5" s="13" t="s">
        <v>152</v>
      </c>
    </row>
    <row r="6" spans="1:1" ht="25" customHeight="1" x14ac:dyDescent="0.35">
      <c r="A6" s="13" t="s">
        <v>153</v>
      </c>
    </row>
    <row r="8" spans="1:1" x14ac:dyDescent="0.35">
      <c r="A8" s="9" t="s">
        <v>138</v>
      </c>
    </row>
    <row r="9" spans="1:1" ht="25" customHeight="1" x14ac:dyDescent="0.35">
      <c r="A9" s="13" t="s">
        <v>154</v>
      </c>
    </row>
    <row r="10" spans="1:1" ht="25" customHeight="1" x14ac:dyDescent="0.35">
      <c r="A10" s="13" t="s">
        <v>155</v>
      </c>
    </row>
    <row r="11" spans="1:1" ht="25" customHeight="1" x14ac:dyDescent="0.35">
      <c r="A11" s="13" t="s">
        <v>156</v>
      </c>
    </row>
    <row r="13" spans="1:1" x14ac:dyDescent="0.35">
      <c r="A13" s="9" t="s">
        <v>139</v>
      </c>
    </row>
    <row r="14" spans="1:1" ht="25" customHeight="1" x14ac:dyDescent="0.35">
      <c r="A14" s="13" t="s">
        <v>157</v>
      </c>
    </row>
    <row r="15" spans="1:1" ht="25" customHeight="1" x14ac:dyDescent="0.35">
      <c r="A15" s="13" t="s">
        <v>158</v>
      </c>
    </row>
    <row r="16" spans="1:1" ht="25" customHeight="1" x14ac:dyDescent="0.35">
      <c r="A16" s="13" t="s">
        <v>159</v>
      </c>
    </row>
    <row r="18" spans="1:1" x14ac:dyDescent="0.35">
      <c r="A18" s="9" t="s">
        <v>140</v>
      </c>
    </row>
    <row r="19" spans="1:1" ht="25" customHeight="1" x14ac:dyDescent="0.35">
      <c r="A19" t="s">
        <v>160</v>
      </c>
    </row>
    <row r="20" spans="1:1" ht="25" customHeight="1" x14ac:dyDescent="0.35">
      <c r="A20" s="13" t="s">
        <v>161</v>
      </c>
    </row>
    <row r="21" spans="1:1" ht="25" customHeight="1" x14ac:dyDescent="0.35">
      <c r="A21" s="13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0125176A45754FB0996C1C75086554" ma:contentTypeVersion="19" ma:contentTypeDescription="Create a new document." ma:contentTypeScope="" ma:versionID="5336a7aad88d4fa118599994f44cfb52">
  <xsd:schema xmlns:xsd="http://www.w3.org/2001/XMLSchema" xmlns:xs="http://www.w3.org/2001/XMLSchema" xmlns:p="http://schemas.microsoft.com/office/2006/metadata/properties" xmlns:ns2="a3712f75-7b99-4ea1-a115-5410be941191" xmlns:ns3="3aa8797b-a9f0-456b-baa3-5d499e8d169d" targetNamespace="http://schemas.microsoft.com/office/2006/metadata/properties" ma:root="true" ma:fieldsID="05c60756e4c1ab69b3f0575f3a38b93a" ns2:_="" ns3:_="">
    <xsd:import namespace="a3712f75-7b99-4ea1-a115-5410be941191"/>
    <xsd:import namespace="3aa8797b-a9f0-456b-baa3-5d499e8d16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12f75-7b99-4ea1-a115-5410be9411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1ea842c-d6a4-43e2-8351-d20fabe133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8797b-a9f0-456b-baa3-5d499e8d169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6bf7372-b96f-4d8f-ba07-70cf5bfdd859}" ma:internalName="TaxCatchAll" ma:showField="CatchAllData" ma:web="3aa8797b-a9f0-456b-baa3-5d499e8d16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a8797b-a9f0-456b-baa3-5d499e8d169d" xsi:nil="true"/>
    <lcf76f155ced4ddcb4097134ff3c332f xmlns="a3712f75-7b99-4ea1-a115-5410be941191">
      <Terms xmlns="http://schemas.microsoft.com/office/infopath/2007/PartnerControls"/>
    </lcf76f155ced4ddcb4097134ff3c332f>
    <SharedWithUsers xmlns="3aa8797b-a9f0-456b-baa3-5d499e8d169d">
      <UserInfo>
        <DisplayName/>
        <AccountId xsi:nil="true"/>
        <AccountType/>
      </UserInfo>
    </SharedWithUsers>
    <MediaLengthInSeconds xmlns="a3712f75-7b99-4ea1-a115-5410be94119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72F25C-6366-47E4-991D-59346C1E8C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712f75-7b99-4ea1-a115-5410be941191"/>
    <ds:schemaRef ds:uri="3aa8797b-a9f0-456b-baa3-5d499e8d16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FF4C06-92D8-400E-AC6C-49E12AB1EC6C}">
  <ds:schemaRefs>
    <ds:schemaRef ds:uri="http://schemas.microsoft.com/office/2006/metadata/properties"/>
    <ds:schemaRef ds:uri="http://schemas.microsoft.com/office/infopath/2007/PartnerControls"/>
    <ds:schemaRef ds:uri="3aa8797b-a9f0-456b-baa3-5d499e8d169d"/>
    <ds:schemaRef ds:uri="a3712f75-7b99-4ea1-a115-5410be941191"/>
  </ds:schemaRefs>
</ds:datastoreItem>
</file>

<file path=customXml/itemProps3.xml><?xml version="1.0" encoding="utf-8"?>
<ds:datastoreItem xmlns:ds="http://schemas.openxmlformats.org/officeDocument/2006/customXml" ds:itemID="{D5ECE509-F43D-4F62-8884-4511A2A91D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Income Statement</vt:lpstr>
      <vt:lpstr>Balance Sheet</vt:lpstr>
      <vt:lpstr>Cash Flow Summary</vt:lpstr>
      <vt:lpstr>Ratio Calculator</vt:lpstr>
      <vt:lpstr>DCF Valuation</vt:lpstr>
      <vt:lpstr>Scenario Analysis</vt:lpstr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Mariam Adebukola Adeniran</cp:lastModifiedBy>
  <dcterms:created xsi:type="dcterms:W3CDTF">2026-05-21T04:09:51Z</dcterms:created>
  <dcterms:modified xsi:type="dcterms:W3CDTF">2026-07-23T20:05:57Z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0x010100BE0125176A45754FB0996C1C75086554</vt:lpwstr>
  </property>
  <property fmtid="{D5CDD505-2E9C-101B-9397-08002B2CF9AE}" pid="3" name="Order">
    <vt:r8>54228300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